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75" yWindow="465" windowWidth="38325" windowHeight="15795" tabRatio="500"/>
  </bookViews>
  <sheets>
    <sheet name="Sheet1" sheetId="1" r:id="rId1"/>
  </sheets>
  <functionGroups builtInGroupCount="17"/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  <c r="C4" i="1"/>
  <c r="D4" i="1"/>
  <c r="B5" i="1"/>
  <c r="E4" i="1"/>
  <c r="B7" i="1"/>
  <c r="B8" i="1"/>
  <c r="B10" i="1"/>
  <c r="C3" i="1"/>
  <c r="B9" i="1"/>
  <c r="C9" i="1"/>
  <c r="C10" i="1"/>
  <c r="C8" i="1"/>
  <c r="C7" i="1"/>
  <c r="B6" i="1"/>
  <c r="C6" i="1"/>
  <c r="C5" i="1"/>
  <c r="C19" i="1"/>
  <c r="D13" i="1"/>
</calcChain>
</file>

<file path=xl/sharedStrings.xml><?xml version="1.0" encoding="utf-8"?>
<sst xmlns="http://schemas.openxmlformats.org/spreadsheetml/2006/main" count="12" uniqueCount="12">
  <si>
    <t>host bits</t>
  </si>
  <si>
    <t>next network from</t>
  </si>
  <si>
    <t>next network to</t>
  </si>
  <si>
    <t>network from ip</t>
  </si>
  <si>
    <t>network to ip</t>
  </si>
  <si>
    <t>The only value you should be entering manually is the IP address - it must have a trailing CIDR mask to define the number of leading network bits</t>
  </si>
  <si>
    <t>hosts</t>
  </si>
  <si>
    <t>network #</t>
  </si>
  <si>
    <t>next network #</t>
  </si>
  <si>
    <t>enter ip address/mask</t>
  </si>
  <si>
    <t>subnet mask</t>
  </si>
  <si>
    <t>192.168.0.3/24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</si>
</sst>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EBF7"/>
        <bgColor rgb="FF000000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3" fillId="0" borderId="0" xfId="0" applyFont="1"/>
    <xf numFmtId="49" fontId="3" fillId="0" borderId="0" xfId="0" applyNumberFormat="1" applyFont="1"/>
    <xf numFmtId="0" fontId="3" fillId="3" borderId="0" xfId="0" applyFont="1" applyFill="1"/>
    <xf numFmtId="0" fontId="3" fillId="2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0" fontId="4" fillId="4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3" fillId="0" borderId="0" xfId="0" applyNumberFormat="1" applyFont="1" applyAlignment="1">
      <alignment horizontal="left"/>
    </xf>
    <xf numFmtId="0" fontId="4" fillId="0" borderId="0" xfId="0" applyNumberFormat="1" applyFont="1" applyAlignment="1">
      <alignment horizontal="left"/>
    </xf>
    <xf numFmtId="49" fontId="4" fillId="0" borderId="0" xfId="0" applyNumberFormat="1" applyFont="1" applyAlignment="1">
      <alignment horizontal="left"/>
    </xf>
    <xf numFmtId="0" fontId="5" fillId="0" borderId="0" xfId="0" applyNumberFormat="1" applyFont="1" applyAlignment="1">
      <alignment horizontal="left"/>
    </xf>
    <xf numFmtId="0" fontId="3" fillId="0" borderId="0" xfId="0" applyNumberFormat="1" applyFont="1"/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19"/>
  <sheetViews>
    <sheetView tabSelected="1" workbookViewId="0">
      <selection activeCell="B15" sqref="B15"/>
    </sheetView>
  </sheetViews>
  <sheetFormatPr defaultColWidth="10.875" defaultRowHeight="23.25" x14ac:dyDescent="0.35"/>
  <cols>
    <col min="1" max="1" width="29.25" style="1" customWidth="1"/>
    <col min="2" max="2" width="35.75" style="2" customWidth="1"/>
    <col min="3" max="3" width="56.625" style="1" customWidth="1"/>
    <col min="4" max="4" width="13.625" style="1" customWidth="1"/>
    <col min="5" max="5" width="26" style="1" customWidth="1"/>
    <col min="6" max="6" width="26.125" style="1" customWidth="1"/>
    <col min="7" max="16384" width="10.875" style="1"/>
  </cols>
  <sheetData>
    <row r="1" spans="1:5" x14ac:dyDescent="0.35">
      <c r="A1" s="1" t="s">
        <v>5</v>
      </c>
    </row>
    <row r="2" spans="1:5" x14ac:dyDescent="0.35">
      <c r="B2" s="12"/>
    </row>
    <row r="3" spans="1:5" x14ac:dyDescent="0.35">
      <c r="A3" s="3" t="s">
        <v>9</v>
      </c>
      <c r="B3" s="4" t="s">
        <v>11</v>
      </c>
      <c r="C3" s="5" t="str">
        <f>BinaryToQuartets(DecToBin(Dotted2LongIP(ExtractIpFromCIDR(B3)),32))</f>
        <v>11000000   10101000   00000000   00000011</v>
      </c>
      <c r="D3" s="6" t="s">
        <v>0</v>
      </c>
      <c r="E3" s="7" t="s">
        <v>6</v>
      </c>
    </row>
    <row r="4" spans="1:5" x14ac:dyDescent="0.35">
      <c r="A4" s="3" t="s">
        <v>10</v>
      </c>
      <c r="B4" s="8" t="str">
        <f>LongIP2Dotted(BinToDec(CalcMask(ExtractMaskFromCIDR(B3))))</f>
        <v>255.255.255.0</v>
      </c>
      <c r="C4" s="5" t="str">
        <f>BinaryToQuartets(CalcMask(ExtractMaskFromCIDR(B3)))</f>
        <v>11111111   11111111   11111111   00000000</v>
      </c>
      <c r="D4" s="9">
        <f>32-ExtractMaskFromCIDR(B3)</f>
        <v>8</v>
      </c>
      <c r="E4" s="10">
        <f>2^D4</f>
        <v>256</v>
      </c>
    </row>
    <row r="5" spans="1:5" x14ac:dyDescent="0.35">
      <c r="A5" s="3" t="s">
        <v>7</v>
      </c>
      <c r="B5" s="8" t="str">
        <f>LongIP2Dotted(Band(BinToDec(DecToBin(Dotted2LongIP(ExtractIpFromCIDR(B3)),32)),BinToDec(CalcMask(ExtractMaskFromCIDR(B3)))))</f>
        <v>192.168.0.0</v>
      </c>
      <c r="C5" s="11" t="str">
        <f>BinaryToQuartets(DecToBin(Dotted2LongIP(B5),32))</f>
        <v>11000000   10101000   00000000   00000000</v>
      </c>
      <c r="D5" s="5"/>
      <c r="E5" s="5"/>
    </row>
    <row r="6" spans="1:5" x14ac:dyDescent="0.35">
      <c r="A6" s="3" t="s">
        <v>3</v>
      </c>
      <c r="B6" s="8" t="str">
        <f>LongIP2Dotted(Dotted2LongIP(B5)+1)</f>
        <v>192.168.0.1</v>
      </c>
      <c r="C6" s="5" t="str">
        <f>BinaryToQuartets(DecToBin(Dotted2LongIP(B6),32))</f>
        <v>11000000   10101000   00000000   00000001</v>
      </c>
      <c r="D6" s="8"/>
      <c r="E6" s="5"/>
    </row>
    <row r="7" spans="1:5" x14ac:dyDescent="0.35">
      <c r="A7" s="3" t="s">
        <v>4</v>
      </c>
      <c r="B7" s="8" t="str">
        <f>LongIP2Dotted(Dotted2LongIP(B5)+E4-1)</f>
        <v>192.168.0.255</v>
      </c>
      <c r="C7" s="5" t="str">
        <f>BinaryToQuartets(DecToBin(Dotted2LongIP(B7),32))</f>
        <v>11000000   10101000   00000000   11111111</v>
      </c>
      <c r="D7" s="5"/>
      <c r="E7" s="5"/>
    </row>
    <row r="8" spans="1:5" x14ac:dyDescent="0.35">
      <c r="A8" s="3" t="s">
        <v>8</v>
      </c>
      <c r="B8" s="8" t="str">
        <f>LongIP2Dotted(Dotted2LongIP(B7)+1)</f>
        <v>192.168.1.0</v>
      </c>
      <c r="C8" s="5" t="str">
        <f>BinaryToQuartets(DecToBin(Dotted2LongIP(B8),32))</f>
        <v>11000000   10101000   00000001   00000000</v>
      </c>
      <c r="D8" s="5"/>
      <c r="E8" s="5"/>
    </row>
    <row r="9" spans="1:5" x14ac:dyDescent="0.35">
      <c r="A9" s="3" t="s">
        <v>1</v>
      </c>
      <c r="B9" s="8" t="str">
        <f>LongIP2Dotted(Dotted2LongIP(B8)+1)</f>
        <v>192.168.1.1</v>
      </c>
      <c r="C9" s="5" t="str">
        <f>BinaryToQuartets(DecToBin(Dotted2LongIP(B9),32))</f>
        <v>11000000   10101000   00000001   00000001</v>
      </c>
      <c r="D9" s="5"/>
      <c r="E9" s="5"/>
    </row>
    <row r="10" spans="1:5" x14ac:dyDescent="0.35">
      <c r="A10" s="3" t="s">
        <v>2</v>
      </c>
      <c r="B10" s="8" t="str">
        <f>LongIP2Dotted(Dotted2LongIP(B8)+E4-1)</f>
        <v>192.168.1.255</v>
      </c>
      <c r="C10" s="5" t="str">
        <f>BinaryToQuartets(DecToBin(Dotted2LongIP(B10),32))</f>
        <v>11000000   10101000   00000001   11111111</v>
      </c>
      <c r="D10" s="5"/>
      <c r="E10" s="5"/>
    </row>
    <row r="13" spans="1:5" x14ac:dyDescent="0.35">
      <c r="B13" s="8"/>
      <c r="D13" s="1" t="str">
        <f>DecToBin(C13)</f>
        <v/>
      </c>
    </row>
    <row r="19" spans="3:3" x14ac:dyDescent="0.35">
      <c r="C19" s="1" t="str">
        <f>BinaryToQuartets(B12)</f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matt.thomas</cp:lastModifiedBy>
  <dcterms:created xsi:type="dcterms:W3CDTF">2016-07-05T20:11:36Z</dcterms:created>
  <dcterms:modified xsi:type="dcterms:W3CDTF">2016-07-06T09:17:41Z</dcterms:modified>
</cp:coreProperties>
</file>