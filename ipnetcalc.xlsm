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ua/Library/Mobile Documents/com~apple~CloudDocs/"/>
    </mc:Choice>
  </mc:AlternateContent>
  <bookViews>
    <workbookView xWindow="80" yWindow="460" windowWidth="38320" windowHeight="235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5" i="1"/>
  <c r="C1" i="1"/>
  <c r="B3" i="1"/>
  <c r="B4" i="1"/>
  <c r="B7" i="1"/>
  <c r="B8" i="1"/>
  <c r="B10" i="1"/>
  <c r="B9" i="1"/>
  <c r="C9" i="1"/>
  <c r="C10" i="1"/>
  <c r="C8" i="1"/>
  <c r="C7" i="1"/>
  <c r="B6" i="1"/>
  <c r="C6" i="1"/>
  <c r="C5" i="1"/>
  <c r="C2" i="1"/>
  <c r="C19" i="1"/>
  <c r="D13" i="1"/>
</calcChain>
</file>

<file path=xl/sharedStrings.xml><?xml version="1.0" encoding="utf-8"?>
<sst xmlns="http://schemas.openxmlformats.org/spreadsheetml/2006/main" count="11" uniqueCount="11">
  <si>
    <t>enter ip address</t>
  </si>
  <si>
    <t>enter CIDR mask</t>
  </si>
  <si>
    <t>network number</t>
  </si>
  <si>
    <t>number of hosts</t>
  </si>
  <si>
    <t>next network number</t>
  </si>
  <si>
    <t>host bits</t>
  </si>
  <si>
    <t>next network from</t>
  </si>
  <si>
    <t>next network to</t>
  </si>
  <si>
    <t>network from ip</t>
  </si>
  <si>
    <t>network to ip</t>
  </si>
  <si>
    <t>10.23.35.32/17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</si>
</sst>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NumberFormat="1" applyFont="1"/>
    <xf numFmtId="49" fontId="1" fillId="0" borderId="0" xfId="0" applyNumberFormat="1" applyFont="1"/>
    <xf numFmtId="0" fontId="1" fillId="0" borderId="0" xfId="0" applyNumberFormat="1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9"/>
  <sheetViews>
    <sheetView tabSelected="1" workbookViewId="0">
      <selection activeCell="B14" sqref="B14"/>
    </sheetView>
  </sheetViews>
  <sheetFormatPr baseColWidth="10" defaultRowHeight="29" x14ac:dyDescent="0.35"/>
  <cols>
    <col min="1" max="1" width="60" style="1" customWidth="1"/>
    <col min="2" max="2" width="68" style="3" customWidth="1"/>
    <col min="3" max="3" width="76.6640625" style="1" customWidth="1"/>
    <col min="4" max="4" width="50.83203125" style="1" customWidth="1"/>
    <col min="5" max="5" width="26" style="1" customWidth="1"/>
    <col min="6" max="6" width="26.1640625" style="1" customWidth="1"/>
    <col min="7" max="16384" width="10.83203125" style="1"/>
  </cols>
  <sheetData>
    <row r="1" spans="1:4" x14ac:dyDescent="0.35">
      <c r="A1" s="5" t="s">
        <v>0</v>
      </c>
      <c r="B1" s="5" t="s">
        <v>10</v>
      </c>
      <c r="C1" s="1" t="str">
        <f>BinaryToQuartets(DecToBin(Dotted2LongIP(ExtractIpFromCIDR(B1)),32))</f>
        <v>00001010   00010111   00100011   00100000</v>
      </c>
    </row>
    <row r="2" spans="1:4" x14ac:dyDescent="0.35">
      <c r="A2" s="6" t="s">
        <v>1</v>
      </c>
      <c r="B2" s="4" t="str">
        <f>ExtractMaskFromCIDR(B1)</f>
        <v>17</v>
      </c>
      <c r="C2" s="1" t="str">
        <f>BinaryToQuartets(CalcMask(B2))</f>
        <v>11111111   11111111   10000000   00000000</v>
      </c>
    </row>
    <row r="3" spans="1:4" x14ac:dyDescent="0.35">
      <c r="A3" s="6" t="s">
        <v>5</v>
      </c>
      <c r="B3" s="3">
        <f>32-B2</f>
        <v>15</v>
      </c>
      <c r="C3" s="2"/>
    </row>
    <row r="4" spans="1:4" x14ac:dyDescent="0.35">
      <c r="A4" s="6" t="s">
        <v>3</v>
      </c>
      <c r="B4" s="3">
        <f>2^B3</f>
        <v>32768</v>
      </c>
    </row>
    <row r="5" spans="1:4" x14ac:dyDescent="0.35">
      <c r="A5" s="6" t="s">
        <v>2</v>
      </c>
      <c r="B5" s="4" t="str">
        <f>LongIP2Dotted(_xlfn.BITAND(BinToDec(DecToBin(Dotted2LongIP(ExtractIpFromCIDR(B1)),32)),BinToDec(CalcMask(B2))))</f>
        <v>10.23.0.0</v>
      </c>
      <c r="C5" s="2" t="str">
        <f>BinaryToQuartets(DecToBin(Dotted2LongIP(B5),32))</f>
        <v>00001010   00010111   00000000   00000000</v>
      </c>
    </row>
    <row r="6" spans="1:4" x14ac:dyDescent="0.35">
      <c r="A6" s="6" t="s">
        <v>8</v>
      </c>
      <c r="B6" s="4" t="str">
        <f>LongIP2Dotted(Dotted2LongIP(B5)+1)</f>
        <v>10.23.0.1</v>
      </c>
      <c r="C6" s="1" t="str">
        <f>BinaryToQuartets(DecToBin(Dotted2LongIP(B6),32))</f>
        <v>00001010   00010111   00000000   00000001</v>
      </c>
      <c r="D6" s="4"/>
    </row>
    <row r="7" spans="1:4" x14ac:dyDescent="0.35">
      <c r="A7" s="6" t="s">
        <v>9</v>
      </c>
      <c r="B7" s="4" t="str">
        <f>LongIP2Dotted(Dotted2LongIP(B5)+B4-1)</f>
        <v>10.23.127.255</v>
      </c>
      <c r="C7" s="1" t="str">
        <f>BinaryToQuartets(DecToBin(Dotted2LongIP(B7),32))</f>
        <v>00001010   00010111   01111111   11111111</v>
      </c>
    </row>
    <row r="8" spans="1:4" x14ac:dyDescent="0.35">
      <c r="A8" s="6" t="s">
        <v>4</v>
      </c>
      <c r="B8" s="4" t="str">
        <f>LongIP2Dotted(Dotted2LongIP(B7)+1)</f>
        <v>10.23.128.0</v>
      </c>
      <c r="C8" s="1" t="str">
        <f>BinaryToQuartets(DecToBin(Dotted2LongIP(B8),32))</f>
        <v>00001010   00010111   10000000   00000000</v>
      </c>
    </row>
    <row r="9" spans="1:4" x14ac:dyDescent="0.35">
      <c r="A9" s="6" t="s">
        <v>6</v>
      </c>
      <c r="B9" s="4" t="str">
        <f>LongIP2Dotted(Dotted2LongIP(B8)+1)</f>
        <v>10.23.128.1</v>
      </c>
      <c r="C9" s="1" t="str">
        <f>BinaryToQuartets(DecToBin(Dotted2LongIP(B9),32))</f>
        <v>00001010   00010111   10000000   00000001</v>
      </c>
    </row>
    <row r="10" spans="1:4" x14ac:dyDescent="0.35">
      <c r="A10" s="6" t="s">
        <v>7</v>
      </c>
      <c r="B10" s="4" t="str">
        <f>LongIP2Dotted(Dotted2LongIP(B8)+B4-1)</f>
        <v>10.23.255.255</v>
      </c>
      <c r="C10" s="1" t="str">
        <f>BinaryToQuartets(DecToBin(Dotted2LongIP(B10),32))</f>
        <v>00001010   00010111   11111111   11111111</v>
      </c>
    </row>
    <row r="13" spans="1:4" x14ac:dyDescent="0.35">
      <c r="D13" s="1" t="str">
        <f>DecToBin(C13)</f>
        <v/>
      </c>
    </row>
    <row r="19" spans="3:3" x14ac:dyDescent="0.35">
      <c r="C19" s="1" t="str">
        <f>BinaryToQuartets(B12)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2016-07-05T20:11:36Z</dcterms:created>
  <dcterms:modified xsi:type="dcterms:W3CDTF">2016-07-05T23:11:50Z</dcterms:modified>
</cp:coreProperties>
</file>